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la_v2013-06-15\MiWi DE Demo\MIWI DEMO KIT DOC\"/>
    </mc:Choice>
  </mc:AlternateContent>
  <xr:revisionPtr revIDLastSave="0" documentId="13_ncr:1_{59356E40-36B9-4563-8E10-1B09E4A79EBC}" xr6:coauthVersionLast="47" xr6:coauthVersionMax="47" xr10:uidLastSave="{00000000-0000-0000-0000-000000000000}"/>
  <bookViews>
    <workbookView xWindow="-108" yWindow="-108" windowWidth="23256" windowHeight="12576" xr2:uid="{1733B32B-F2D9-45E6-8D23-B86F89AFD9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F13" i="1"/>
  <c r="F14" i="1"/>
  <c r="F15" i="1"/>
  <c r="F16" i="1"/>
  <c r="F17" i="1"/>
  <c r="F18" i="1"/>
  <c r="F19" i="1"/>
  <c r="F20" i="1"/>
  <c r="F21" i="1"/>
  <c r="F22" i="1"/>
  <c r="F24" i="1"/>
  <c r="F25" i="1"/>
  <c r="F26" i="1"/>
  <c r="F27" i="1"/>
  <c r="F23" i="1"/>
</calcChain>
</file>

<file path=xl/sharedStrings.xml><?xml version="1.0" encoding="utf-8"?>
<sst xmlns="http://schemas.openxmlformats.org/spreadsheetml/2006/main" count="10" uniqueCount="7">
  <si>
    <t>symbols</t>
  </si>
  <si>
    <t>sec</t>
  </si>
  <si>
    <t>ScanDuration</t>
  </si>
  <si>
    <t>Symbols</t>
  </si>
  <si>
    <t>Time (s)</t>
  </si>
  <si>
    <t>Ticks (PBCLK3 = 100MHz)</t>
  </si>
  <si>
    <t>Ticks (PBCLK3 = 16MHz)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</si>
</sst>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A6B0-4A29-40F2-96D6-A7FFE08FC009}">
  <dimension ref="F12:P49"/>
  <sheetViews>
    <sheetView tabSelected="1" topLeftCell="A30" workbookViewId="0">
      <selection activeCell="L35" sqref="L35"/>
    </sheetView>
  </sheetViews>
  <sheetFormatPr defaultRowHeight="14.4" x14ac:dyDescent="0.3"/>
  <cols>
    <col min="5" max="5" width="28.6640625" customWidth="1"/>
    <col min="6" max="6" width="21.33203125" customWidth="1"/>
    <col min="8" max="8" width="12" customWidth="1"/>
    <col min="9" max="9" width="12.77734375" customWidth="1"/>
    <col min="10" max="10" width="18.6640625" customWidth="1"/>
    <col min="12" max="12" width="13.33203125" customWidth="1"/>
    <col min="13" max="13" width="13.88671875" customWidth="1"/>
    <col min="14" max="14" width="14.88671875" customWidth="1"/>
  </cols>
  <sheetData>
    <row r="12" spans="6:10" x14ac:dyDescent="0.3">
      <c r="F12" t="s">
        <v>1</v>
      </c>
      <c r="I12" t="s">
        <v>0</v>
      </c>
    </row>
    <row r="13" spans="6:10" x14ac:dyDescent="0.3">
      <c r="F13" s="1">
        <f t="shared" ref="F13:F14" si="0">960 * (2^G13 + 1) * 10^(-6)</f>
        <v>1.9199999999999998E-3</v>
      </c>
      <c r="G13">
        <v>0</v>
      </c>
      <c r="I13" s="3">
        <v>120</v>
      </c>
      <c r="J13">
        <f t="shared" ref="J13:J26" si="1">F13/I13</f>
        <v>1.5999999999999999E-5</v>
      </c>
    </row>
    <row r="14" spans="6:10" x14ac:dyDescent="0.3">
      <c r="F14" s="1">
        <f t="shared" si="0"/>
        <v>2.8799999999999997E-3</v>
      </c>
      <c r="G14">
        <v>1</v>
      </c>
      <c r="I14" s="3">
        <v>180</v>
      </c>
      <c r="J14">
        <f t="shared" si="1"/>
        <v>1.5999999999999999E-5</v>
      </c>
    </row>
    <row r="15" spans="6:10" x14ac:dyDescent="0.3">
      <c r="F15" s="1">
        <f t="shared" ref="F15" si="2">960 * (2^G15 + 1) * 10^(-6)</f>
        <v>4.7999999999999996E-3</v>
      </c>
      <c r="G15">
        <v>2</v>
      </c>
      <c r="I15" s="3">
        <v>300</v>
      </c>
      <c r="J15">
        <f t="shared" si="1"/>
        <v>1.5999999999999999E-5</v>
      </c>
    </row>
    <row r="16" spans="6:10" x14ac:dyDescent="0.3">
      <c r="F16" s="1">
        <f t="shared" ref="F16:F22" si="3">960 * (2^G16 + 1) * 10^(-6)</f>
        <v>8.6400000000000001E-3</v>
      </c>
      <c r="G16">
        <v>3</v>
      </c>
      <c r="I16" s="3">
        <v>540</v>
      </c>
      <c r="J16">
        <f t="shared" si="1"/>
        <v>1.5999999999999999E-5</v>
      </c>
    </row>
    <row r="17" spans="6:16" x14ac:dyDescent="0.3">
      <c r="F17" s="1">
        <f t="shared" si="3"/>
        <v>1.6319999999999998E-2</v>
      </c>
      <c r="G17">
        <v>4</v>
      </c>
      <c r="I17" s="5">
        <v>1020</v>
      </c>
      <c r="J17">
        <f t="shared" si="1"/>
        <v>1.5999999999999999E-5</v>
      </c>
    </row>
    <row r="18" spans="6:16" x14ac:dyDescent="0.3">
      <c r="F18" s="1">
        <f t="shared" si="3"/>
        <v>3.168E-2</v>
      </c>
      <c r="G18">
        <v>5</v>
      </c>
      <c r="I18" s="5">
        <v>1980</v>
      </c>
      <c r="J18">
        <f t="shared" si="1"/>
        <v>1.5999999999999999E-5</v>
      </c>
    </row>
    <row r="19" spans="6:16" x14ac:dyDescent="0.3">
      <c r="F19" s="1">
        <f t="shared" si="3"/>
        <v>6.2399999999999997E-2</v>
      </c>
      <c r="G19">
        <v>6</v>
      </c>
      <c r="I19" s="5">
        <v>3900</v>
      </c>
      <c r="J19">
        <f t="shared" si="1"/>
        <v>1.5999999999999999E-5</v>
      </c>
    </row>
    <row r="20" spans="6:16" x14ac:dyDescent="0.3">
      <c r="F20" s="1">
        <f t="shared" si="3"/>
        <v>0.12383999999999999</v>
      </c>
      <c r="G20">
        <v>7</v>
      </c>
      <c r="I20" s="5">
        <v>7740</v>
      </c>
      <c r="J20">
        <f t="shared" si="1"/>
        <v>1.5999999999999999E-5</v>
      </c>
    </row>
    <row r="21" spans="6:16" x14ac:dyDescent="0.3">
      <c r="F21" s="1">
        <f t="shared" si="3"/>
        <v>0.24671999999999999</v>
      </c>
      <c r="G21">
        <v>8</v>
      </c>
      <c r="I21" s="5">
        <v>15420</v>
      </c>
      <c r="J21">
        <f t="shared" si="1"/>
        <v>1.5999999999999999E-5</v>
      </c>
    </row>
    <row r="22" spans="6:16" x14ac:dyDescent="0.3">
      <c r="F22" s="1">
        <f t="shared" si="3"/>
        <v>0.49247999999999997</v>
      </c>
      <c r="G22">
        <v>9</v>
      </c>
      <c r="I22" s="5">
        <v>30780</v>
      </c>
      <c r="J22">
        <f t="shared" si="1"/>
        <v>1.5999999999999999E-5</v>
      </c>
    </row>
    <row r="23" spans="6:16" x14ac:dyDescent="0.3">
      <c r="F23" s="1">
        <f>960 * (2^G23 + 1) * 10^(-6)</f>
        <v>0.98399999999999999</v>
      </c>
      <c r="G23">
        <v>10</v>
      </c>
      <c r="I23" s="5">
        <v>61500</v>
      </c>
      <c r="J23">
        <f t="shared" si="1"/>
        <v>1.5999999999999999E-5</v>
      </c>
    </row>
    <row r="24" spans="6:16" x14ac:dyDescent="0.3">
      <c r="F24" s="1">
        <f t="shared" ref="F24:F27" si="4">960 * (2^G24 + 1) * 10^(-6)</f>
        <v>1.9670399999999999</v>
      </c>
      <c r="G24">
        <v>11</v>
      </c>
      <c r="I24" s="5">
        <v>122940</v>
      </c>
      <c r="J24">
        <f t="shared" si="1"/>
        <v>1.5999999999999999E-5</v>
      </c>
    </row>
    <row r="25" spans="6:16" x14ac:dyDescent="0.3">
      <c r="F25" s="1">
        <f t="shared" si="4"/>
        <v>3.9331199999999997</v>
      </c>
      <c r="G25">
        <v>12</v>
      </c>
      <c r="I25" s="5">
        <v>245820</v>
      </c>
      <c r="J25">
        <f t="shared" si="1"/>
        <v>1.5999999999999999E-5</v>
      </c>
    </row>
    <row r="26" spans="6:16" x14ac:dyDescent="0.3">
      <c r="F26" s="1">
        <f t="shared" si="4"/>
        <v>7.8652799999999994</v>
      </c>
      <c r="G26">
        <v>13</v>
      </c>
      <c r="I26" s="5">
        <v>491580</v>
      </c>
      <c r="J26">
        <f t="shared" si="1"/>
        <v>1.5999999999999999E-5</v>
      </c>
    </row>
    <row r="27" spans="6:16" x14ac:dyDescent="0.3">
      <c r="F27" s="1">
        <f t="shared" si="4"/>
        <v>15.7296</v>
      </c>
      <c r="G27">
        <v>14</v>
      </c>
      <c r="I27" s="7">
        <v>983100</v>
      </c>
      <c r="J27">
        <f>F27/I27</f>
        <v>1.5999999999999999E-5</v>
      </c>
    </row>
    <row r="31" spans="6:16" x14ac:dyDescent="0.3">
      <c r="F31" s="3"/>
      <c r="G31" s="3"/>
      <c r="H31" s="4"/>
      <c r="I31" s="2"/>
      <c r="J31" s="3"/>
      <c r="M31" s="6"/>
      <c r="N31" s="6"/>
      <c r="O31" s="6"/>
      <c r="P31" s="6"/>
    </row>
    <row r="32" spans="6:16" x14ac:dyDescent="0.3">
      <c r="F32" s="3"/>
      <c r="G32" s="3"/>
      <c r="H32" s="4"/>
      <c r="I32" s="2"/>
      <c r="J32" s="3"/>
      <c r="M32" s="2"/>
      <c r="N32" s="2"/>
      <c r="O32" s="2"/>
      <c r="P32" s="2"/>
    </row>
    <row r="33" spans="6:16" x14ac:dyDescent="0.3">
      <c r="F33" s="3"/>
      <c r="G33" s="3"/>
      <c r="H33" s="4"/>
      <c r="I33" s="2"/>
      <c r="J33" s="3"/>
      <c r="M33" s="2"/>
      <c r="N33" s="2"/>
      <c r="O33" s="2"/>
      <c r="P33" s="2"/>
    </row>
    <row r="34" spans="6:16" ht="57.6" x14ac:dyDescent="0.3">
      <c r="F34" s="6" t="s">
        <v>2</v>
      </c>
      <c r="G34" s="6" t="s">
        <v>3</v>
      </c>
      <c r="H34" s="6" t="s">
        <v>4</v>
      </c>
      <c r="I34" s="6" t="s">
        <v>5</v>
      </c>
      <c r="J34" s="3"/>
      <c r="K34" s="6" t="s">
        <v>2</v>
      </c>
      <c r="L34" s="6" t="s">
        <v>3</v>
      </c>
      <c r="M34" s="6" t="s">
        <v>4</v>
      </c>
      <c r="N34" s="6" t="s">
        <v>6</v>
      </c>
      <c r="O34" s="2"/>
      <c r="P34" s="2"/>
    </row>
    <row r="35" spans="6:16" x14ac:dyDescent="0.3">
      <c r="F35" s="2">
        <v>0</v>
      </c>
      <c r="G35" s="2">
        <v>120</v>
      </c>
      <c r="H35" s="2">
        <v>1.92E-3</v>
      </c>
      <c r="I35" s="2">
        <v>192000</v>
      </c>
      <c r="J35" s="5"/>
      <c r="K35" s="2">
        <v>0</v>
      </c>
      <c r="L35" s="2">
        <v>120</v>
      </c>
      <c r="M35" s="2">
        <v>1.92E-3</v>
      </c>
      <c r="N35" s="2">
        <v>30720</v>
      </c>
      <c r="O35" s="2"/>
      <c r="P35" s="2"/>
    </row>
    <row r="36" spans="6:16" x14ac:dyDescent="0.3">
      <c r="F36" s="2">
        <v>1</v>
      </c>
      <c r="G36" s="2">
        <v>180</v>
      </c>
      <c r="H36" s="2">
        <v>2.8800000000000002E-3</v>
      </c>
      <c r="I36" s="2">
        <v>288000</v>
      </c>
      <c r="J36" s="5"/>
      <c r="K36" s="2">
        <v>1</v>
      </c>
      <c r="L36" s="2">
        <v>180</v>
      </c>
      <c r="M36" s="2">
        <v>2.8800000000000002E-3</v>
      </c>
      <c r="N36" s="2">
        <v>46080</v>
      </c>
      <c r="O36" s="2"/>
      <c r="P36" s="2"/>
    </row>
    <row r="37" spans="6:16" x14ac:dyDescent="0.3">
      <c r="F37" s="2">
        <v>2</v>
      </c>
      <c r="G37" s="2">
        <v>300</v>
      </c>
      <c r="H37" s="2">
        <v>4.7999999999999996E-3</v>
      </c>
      <c r="I37" s="2">
        <v>480000</v>
      </c>
      <c r="J37" s="5"/>
      <c r="K37" s="2">
        <v>2</v>
      </c>
      <c r="L37" s="2">
        <v>300</v>
      </c>
      <c r="M37" s="2">
        <v>4.7999999999999996E-3</v>
      </c>
      <c r="N37" s="2">
        <v>76800</v>
      </c>
      <c r="O37" s="2"/>
      <c r="P37" s="2"/>
    </row>
    <row r="38" spans="6:16" x14ac:dyDescent="0.3">
      <c r="F38" s="2">
        <v>3</v>
      </c>
      <c r="G38" s="2">
        <v>540</v>
      </c>
      <c r="H38" s="2">
        <v>8.6400000000000001E-3</v>
      </c>
      <c r="I38" s="2">
        <v>864000</v>
      </c>
      <c r="J38" s="5"/>
      <c r="K38" s="2">
        <v>3</v>
      </c>
      <c r="L38" s="2">
        <v>540</v>
      </c>
      <c r="M38" s="2">
        <v>8.6400000000000001E-3</v>
      </c>
      <c r="N38" s="2">
        <v>138240</v>
      </c>
      <c r="O38" s="2"/>
      <c r="P38" s="2"/>
    </row>
    <row r="39" spans="6:16" x14ac:dyDescent="0.3">
      <c r="F39" s="2">
        <v>4</v>
      </c>
      <c r="G39" s="2">
        <v>1020</v>
      </c>
      <c r="H39" s="2">
        <v>1.6320000000000001E-2</v>
      </c>
      <c r="I39" s="2">
        <v>1632000</v>
      </c>
      <c r="J39" s="5"/>
      <c r="K39" s="2">
        <v>4</v>
      </c>
      <c r="L39" s="2">
        <v>1020</v>
      </c>
      <c r="M39" s="2">
        <v>1.6320000000000001E-2</v>
      </c>
      <c r="N39" s="2">
        <v>261120</v>
      </c>
      <c r="O39" s="2"/>
      <c r="P39" s="2"/>
    </row>
    <row r="40" spans="6:16" x14ac:dyDescent="0.3">
      <c r="F40" s="2">
        <v>5</v>
      </c>
      <c r="G40" s="2">
        <v>1980</v>
      </c>
      <c r="H40" s="2">
        <v>3.168E-2</v>
      </c>
      <c r="I40" s="2">
        <v>3168000</v>
      </c>
      <c r="J40" s="5"/>
      <c r="K40" s="2">
        <v>5</v>
      </c>
      <c r="L40" s="2">
        <v>1980</v>
      </c>
      <c r="M40" s="2">
        <v>3.168E-2</v>
      </c>
      <c r="N40" s="2">
        <v>507840</v>
      </c>
      <c r="O40" s="2"/>
      <c r="P40" s="2"/>
    </row>
    <row r="41" spans="6:16" x14ac:dyDescent="0.3">
      <c r="F41" s="2">
        <v>6</v>
      </c>
      <c r="G41" s="2">
        <v>3900</v>
      </c>
      <c r="H41" s="2">
        <v>6.2399999999999997E-2</v>
      </c>
      <c r="I41" s="2">
        <v>6240000</v>
      </c>
      <c r="J41" s="5"/>
      <c r="K41" s="2">
        <v>6</v>
      </c>
      <c r="L41" s="2">
        <v>3900</v>
      </c>
      <c r="M41" s="2">
        <v>6.2399999999999997E-2</v>
      </c>
      <c r="N41" s="2">
        <v>1008000</v>
      </c>
      <c r="O41" s="2"/>
      <c r="P41" s="2"/>
    </row>
    <row r="42" spans="6:16" x14ac:dyDescent="0.3">
      <c r="F42" s="2">
        <v>7</v>
      </c>
      <c r="G42" s="2">
        <v>7740</v>
      </c>
      <c r="H42" s="2">
        <v>0.12384000000000001</v>
      </c>
      <c r="I42" s="2">
        <v>12384000</v>
      </c>
      <c r="J42" s="5"/>
      <c r="K42" s="2">
        <v>7</v>
      </c>
      <c r="L42" s="2">
        <v>7740</v>
      </c>
      <c r="M42" s="2">
        <v>0.12384000000000001</v>
      </c>
      <c r="N42" s="2">
        <v>2000640</v>
      </c>
      <c r="O42" s="2"/>
      <c r="P42" s="2"/>
    </row>
    <row r="43" spans="6:16" x14ac:dyDescent="0.3">
      <c r="F43" s="2">
        <v>8</v>
      </c>
      <c r="G43" s="2">
        <v>15420</v>
      </c>
      <c r="H43" s="2">
        <v>0.24671999999999999</v>
      </c>
      <c r="I43" s="2">
        <v>24672000</v>
      </c>
      <c r="J43" s="5"/>
      <c r="K43" s="2">
        <v>8</v>
      </c>
      <c r="L43" s="2">
        <v>15420</v>
      </c>
      <c r="M43" s="2">
        <v>0.24671999999999999</v>
      </c>
      <c r="N43" s="2">
        <v>3987840</v>
      </c>
      <c r="O43" s="2"/>
      <c r="P43" s="2"/>
    </row>
    <row r="44" spans="6:16" x14ac:dyDescent="0.3">
      <c r="F44" s="2">
        <v>9</v>
      </c>
      <c r="G44" s="2">
        <v>30780</v>
      </c>
      <c r="H44" s="2">
        <v>0.49247999999999997</v>
      </c>
      <c r="I44" s="2">
        <v>49248000</v>
      </c>
      <c r="J44" s="5"/>
      <c r="K44" s="2">
        <v>9</v>
      </c>
      <c r="L44" s="2">
        <v>30780</v>
      </c>
      <c r="M44" s="2">
        <v>0.49247999999999997</v>
      </c>
      <c r="N44" s="2">
        <v>7956480</v>
      </c>
      <c r="O44" s="2"/>
      <c r="P44" s="2"/>
    </row>
    <row r="45" spans="6:16" x14ac:dyDescent="0.3">
      <c r="F45" s="2">
        <v>10</v>
      </c>
      <c r="G45" s="2">
        <v>61500</v>
      </c>
      <c r="H45" s="2">
        <v>0.98399999999999999</v>
      </c>
      <c r="I45" s="2">
        <v>98400000</v>
      </c>
      <c r="K45" s="2">
        <v>10</v>
      </c>
      <c r="L45" s="2">
        <v>61500</v>
      </c>
      <c r="M45" s="2">
        <v>0.98399999999999999</v>
      </c>
      <c r="N45" s="2">
        <v>15936000</v>
      </c>
      <c r="O45" s="2"/>
      <c r="P45" s="2"/>
    </row>
    <row r="46" spans="6:16" x14ac:dyDescent="0.3">
      <c r="F46" s="2">
        <v>11</v>
      </c>
      <c r="G46" s="2">
        <v>122940</v>
      </c>
      <c r="H46" s="2">
        <v>1.9670399999999999</v>
      </c>
      <c r="I46" s="2">
        <v>196704000</v>
      </c>
      <c r="K46" s="2">
        <v>11</v>
      </c>
      <c r="L46" s="2">
        <v>122940</v>
      </c>
      <c r="M46" s="2">
        <v>1.9670399999999999</v>
      </c>
      <c r="N46" s="2">
        <v>31856640</v>
      </c>
      <c r="O46" s="2"/>
      <c r="P46" s="2"/>
    </row>
    <row r="47" spans="6:16" x14ac:dyDescent="0.3">
      <c r="F47" s="2">
        <v>12</v>
      </c>
      <c r="G47" s="2">
        <v>245820</v>
      </c>
      <c r="H47" s="2">
        <v>3.9331200000000002</v>
      </c>
      <c r="I47" s="2">
        <v>393312000</v>
      </c>
      <c r="K47" s="2">
        <v>12</v>
      </c>
      <c r="L47" s="2">
        <v>245820</v>
      </c>
      <c r="M47" s="2">
        <v>3.9331200000000002</v>
      </c>
      <c r="N47" s="2">
        <v>63729920</v>
      </c>
    </row>
    <row r="48" spans="6:16" x14ac:dyDescent="0.3">
      <c r="F48" s="2">
        <v>13</v>
      </c>
      <c r="G48" s="2">
        <v>491580</v>
      </c>
      <c r="H48" s="2">
        <v>7.8652800000000003</v>
      </c>
      <c r="I48" s="2">
        <v>786528000</v>
      </c>
      <c r="K48" s="2">
        <v>13</v>
      </c>
      <c r="L48" s="2">
        <v>491580</v>
      </c>
      <c r="M48" s="2">
        <v>7.8652800000000003</v>
      </c>
      <c r="N48" s="2">
        <v>127011840</v>
      </c>
    </row>
    <row r="49" spans="6:14" x14ac:dyDescent="0.3">
      <c r="F49" s="2">
        <v>14</v>
      </c>
      <c r="G49" s="2">
        <v>983100</v>
      </c>
      <c r="H49" s="2">
        <v>15.7296</v>
      </c>
      <c r="I49" s="2">
        <v>1572960000</v>
      </c>
      <c r="K49" s="2">
        <v>14</v>
      </c>
      <c r="L49" s="2">
        <v>983100</v>
      </c>
      <c r="M49" s="2">
        <v>15.7296</v>
      </c>
      <c r="N49" s="2">
        <v>254502400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whiteking</dc:creator>
  <cp:lastModifiedBy>Aizulfaideen Bin Hamim</cp:lastModifiedBy>
  <dcterms:created xsi:type="dcterms:W3CDTF">2022-02-26T06:55:13Z</dcterms:created>
  <dcterms:modified xsi:type="dcterms:W3CDTF">2025-02-09T16:12:55Z</dcterms:modified>
</cp:coreProperties>
</file>